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ta Dictionary" sheetId="1" state="visible" r:id="rId3"/>
    <sheet name="Source Summary" sheetId="2" state="visible" r:id="rId4"/>
    <sheet name="Top Drivers" sheetId="3" state="visible" r:id="rId5"/>
  </sheets>
  <definedNames>
    <definedName function="false" hidden="true" localSheetId="0" name="_xlnm._FilterDatabase" vbProcedure="false">'Data Dictionary'!$A$4:$G$62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<sst xmlns="http://schemas.openxmlformats.org/spreadsheetml/2006/main" count="515" uniqueCount="342">
  <si>
    <t xml:space="preserve">GSE Foreclosure Disposition Analysis — Data Dictionary</t>
  </si>
  <si>
    <t xml:space="preserve">Prepared for ServiceLink · April 2026 · 57 model features</t>
  </si>
  <si>
    <t xml:space="preserve">Category</t>
  </si>
  <si>
    <t xml:space="preserve">#</t>
  </si>
  <si>
    <t xml:space="preserve">Column</t>
  </si>
  <si>
    <t xml:space="preserve">Description</t>
  </si>
  <si>
    <t xml:space="preserve">Source</t>
  </si>
  <si>
    <t xml:space="preserve">Why it's in the model</t>
  </si>
  <si>
    <t xml:space="preserve">Type</t>
  </si>
  <si>
    <t xml:space="preserve">Target</t>
  </si>
  <si>
    <t xml:space="preserve">y</t>
  </si>
  <si>
    <t xml:space="preserve">1 = Sold to 3rd party (ZBC 02), 0 = REO reversion (ZBC 09)</t>
  </si>
  <si>
    <t xml:space="preserve">GSE</t>
  </si>
  <si>
    <t xml:space="preserve">The outcome we are predicting</t>
  </si>
  <si>
    <t xml:space="preserve">Binary</t>
  </si>
  <si>
    <t xml:space="preserve">Loan fundamentals</t>
  </si>
  <si>
    <t xml:space="preserve">1</t>
  </si>
  <si>
    <t xml:space="preserve">orig_ltv</t>
  </si>
  <si>
    <t xml:space="preserve">Original loan-to-value ratio at origination (%)</t>
  </si>
  <si>
    <t xml:space="preserve">Persistent risk indicator; high origination LTV correlates with REO reversion</t>
  </si>
  <si>
    <t xml:space="preserve">Numeric</t>
  </si>
  <si>
    <t xml:space="preserve">2</t>
  </si>
  <si>
    <t xml:space="preserve">dti</t>
  </si>
  <si>
    <t xml:space="preserve">Debt-to-income ratio at origination</t>
  </si>
  <si>
    <t xml:space="preserve">Borrower stress signal at loan inception</t>
  </si>
  <si>
    <t xml:space="preserve">3</t>
  </si>
  <si>
    <t xml:space="preserve">credit_score</t>
  </si>
  <si>
    <t xml:space="preserve">Borrower credit score at origination</t>
  </si>
  <si>
    <t xml:space="preserve">Underwriting quality proxy; weaker for disposition prediction than for default prediction</t>
  </si>
  <si>
    <t xml:space="preserve">4</t>
  </si>
  <si>
    <t xml:space="preserve">ltv_at_foreclosure</t>
  </si>
  <si>
    <t xml:space="preserve">Total debt owed / estimated property value at disposition</t>
  </si>
  <si>
    <t xml:space="preserve">Derived</t>
  </si>
  <si>
    <t xml:space="preserve">TOP DRIVER #4. Debt overhang at auction — high LTV → REO; low LTV → investor will bid</t>
  </si>
  <si>
    <t xml:space="preserve">5</t>
  </si>
  <si>
    <t xml:space="preserve">discount_to_bpo</t>
  </si>
  <si>
    <t xml:space="preserve">(BPO − auction starting price) / BPO</t>
  </si>
  <si>
    <t xml:space="preserve">TOP DRIVER #3. Captures auction-strategy effect: deeper discount attracts bidders</t>
  </si>
  <si>
    <t xml:space="preserve">6</t>
  </si>
  <si>
    <t xml:space="preserve">months_in_default</t>
  </si>
  <si>
    <t xml:space="preserve">Months between first delinquency and disposition</t>
  </si>
  <si>
    <t xml:space="preserve">Derived from GSE</t>
  </si>
  <si>
    <t xml:space="preserve">Long-stale cases trend toward REO; market has moved on</t>
  </si>
  <si>
    <t xml:space="preserve">7</t>
  </si>
  <si>
    <t xml:space="preserve">equity_ratio</t>
  </si>
  <si>
    <t xml:space="preserve">(Property value − total debt) / property value</t>
  </si>
  <si>
    <t xml:space="preserve">TOP DRIVER #2. How much equity an investor would capture</t>
  </si>
  <si>
    <t xml:space="preserve">8</t>
  </si>
  <si>
    <t xml:space="preserve">orig_rate</t>
  </si>
  <si>
    <t xml:space="preserve">Original interest rate (%)</t>
  </si>
  <si>
    <t xml:space="preserve">Vintage marker; rate environment proxy at origination</t>
  </si>
  <si>
    <t xml:space="preserve">Geographic &amp; housing market</t>
  </si>
  <si>
    <t xml:space="preserve">9</t>
  </si>
  <si>
    <t xml:space="preserve">hpi_orig</t>
  </si>
  <si>
    <t xml:space="preserve">FHFA state HPI at origination</t>
  </si>
  <si>
    <t xml:space="preserve">FHFA</t>
  </si>
  <si>
    <t xml:space="preserve">Anchor for "how much has this market moved" calculations</t>
  </si>
  <si>
    <t xml:space="preserve">10</t>
  </si>
  <si>
    <t xml:space="preserve">hpi_disp</t>
  </si>
  <si>
    <t xml:space="preserve">FHFA state HPI at disposition</t>
  </si>
  <si>
    <t xml:space="preserve">Current state-level price level</t>
  </si>
  <si>
    <t xml:space="preserve">11</t>
  </si>
  <si>
    <t xml:space="preserve">hpi_msa_disp</t>
  </si>
  <si>
    <t xml:space="preserve">FHFA MSA-level HPI at disposition</t>
  </si>
  <si>
    <t xml:space="preserve">Metro-level granularity (Phoenix vs Tucson differ inside AZ)</t>
  </si>
  <si>
    <t xml:space="preserve">12</t>
  </si>
  <si>
    <t xml:space="preserve">market_friction_score</t>
  </si>
  <si>
    <t xml:space="preserve">Composite of inventory, DOM, sentiment</t>
  </si>
  <si>
    <t xml:space="preserve">Single index of "is this a tough market right now?"</t>
  </si>
  <si>
    <t xml:space="preserve">Macro at disposition</t>
  </si>
  <si>
    <t xml:space="preserve">13</t>
  </si>
  <si>
    <t xml:space="preserve">mortgage_rate_30y</t>
  </si>
  <si>
    <t xml:space="preserve">30-year fixed mortgage rate (%)</t>
  </si>
  <si>
    <t xml:space="preserve">FRED</t>
  </si>
  <si>
    <t xml:space="preserve">Buyer affordability; rising rates suppress retail demand</t>
  </si>
  <si>
    <t xml:space="preserve">14</t>
  </si>
  <si>
    <t xml:space="preserve">unemployment_rate_national</t>
  </si>
  <si>
    <t xml:space="preserve">US headline unemployment rate (%)</t>
  </si>
  <si>
    <t xml:space="preserve">Aggregate buyer-pool health</t>
  </si>
  <si>
    <t xml:space="preserve">15</t>
  </si>
  <si>
    <t xml:space="preserve">mortgage_rate_delta_90d</t>
  </si>
  <si>
    <t xml:space="preserve">Change in 30Y rate over prior 90 days</t>
  </si>
  <si>
    <t xml:space="preserve">Trajectory matters — rapid rises freeze the market faster than absolute level</t>
  </si>
  <si>
    <t xml:space="preserve">Buyer psychology</t>
  </si>
  <si>
    <t xml:space="preserve">16</t>
  </si>
  <si>
    <t xml:space="preserve">UMCSENT</t>
  </si>
  <si>
    <t xml:space="preserve">University of Michigan Consumer Sentiment Index</t>
  </si>
  <si>
    <t xml:space="preserve">Risk appetite for big purchases; LEADING indicator (-6 months) in lead-lag</t>
  </si>
  <si>
    <t xml:space="preserve">17</t>
  </si>
  <si>
    <t xml:space="preserve">MICH</t>
  </si>
  <si>
    <t xml:space="preserve">Inflation expectations (UMich, 1Y ahead)</t>
  </si>
  <si>
    <t xml:space="preserve">When inflation fears spike, hard-asset (real estate) demand rises</t>
  </si>
  <si>
    <t xml:space="preserve">18</t>
  </si>
  <si>
    <t xml:space="preserve">PAYEMS</t>
  </si>
  <si>
    <t xml:space="preserve">Total nonfarm payrolls (thousands)</t>
  </si>
  <si>
    <t xml:space="preserve">Employment-driven housing demand</t>
  </si>
  <si>
    <t xml:space="preserve">Supply</t>
  </si>
  <si>
    <t xml:space="preserve">19</t>
  </si>
  <si>
    <t xml:space="preserve">MSACSR</t>
  </si>
  <si>
    <t xml:space="preserve">Months supply of new houses</t>
  </si>
  <si>
    <t xml:space="preserve">Glut indicator; high supply → REO spike. LAGGING indicator (+8 months)</t>
  </si>
  <si>
    <t xml:space="preserve">20</t>
  </si>
  <si>
    <t xml:space="preserve">ACTLISCOUUS</t>
  </si>
  <si>
    <t xml:space="preserve">Active listings, US total</t>
  </si>
  <si>
    <t xml:space="preserve">Inventory headwind; STRONGEST LEADING indicator (-10 months, r=-0.80)</t>
  </si>
  <si>
    <t xml:space="preserve">21</t>
  </si>
  <si>
    <t xml:space="preserve">HOUST1F</t>
  </si>
  <si>
    <t xml:space="preserve">1-family housing starts</t>
  </si>
  <si>
    <t xml:space="preserve">Forward supply pressure</t>
  </si>
  <si>
    <t xml:space="preserve">22</t>
  </si>
  <si>
    <t xml:space="preserve">COMPU1USA</t>
  </si>
  <si>
    <t xml:space="preserve">1-family housing completions</t>
  </si>
  <si>
    <t xml:space="preserve">Imminent supply pressure</t>
  </si>
  <si>
    <t xml:space="preserve">Realtor.com metro</t>
  </si>
  <si>
    <t xml:space="preserve">23</t>
  </si>
  <si>
    <t xml:space="preserve">active_listings_final</t>
  </si>
  <si>
    <t xml:space="preserve">Metro active listings (Realtor.com)</t>
  </si>
  <si>
    <t xml:space="preserve">Realtor.com</t>
  </si>
  <si>
    <t xml:space="preserve">Local inventory at disposition — direct bidder-competition signal</t>
  </si>
  <si>
    <t xml:space="preserve">24</t>
  </si>
  <si>
    <t xml:space="preserve">median_dom_final</t>
  </si>
  <si>
    <t xml:space="preserve">Metro median days on market</t>
  </si>
  <si>
    <t xml:space="preserve">Tight market (low DOM) → confident bidders</t>
  </si>
  <si>
    <t xml:space="preserve">25</t>
  </si>
  <si>
    <t xml:space="preserve">new_listings_final</t>
  </si>
  <si>
    <t xml:space="preserve">New listings flowing into metro</t>
  </si>
  <si>
    <t xml:space="preserve">26</t>
  </si>
  <si>
    <t xml:space="preserve">median_list_price_final</t>
  </si>
  <si>
    <t xml:space="preserve">Metro median list price ($)</t>
  </si>
  <si>
    <t xml:space="preserve">Price-level context at disposition</t>
  </si>
  <si>
    <t xml:space="preserve">Credit &amp; capital markets</t>
  </si>
  <si>
    <t xml:space="preserve">27</t>
  </si>
  <si>
    <t xml:space="preserve">BAMLH0A0HYM2</t>
  </si>
  <si>
    <t xml:space="preserve">ICE BofA US High Yield bond spread (bps)</t>
  </si>
  <si>
    <t xml:space="preserve">Investor capital availability — high spreads = capital frozen, fewer auction bidders</t>
  </si>
  <si>
    <t xml:space="preserve">28</t>
  </si>
  <si>
    <t xml:space="preserve">DRTSCLCC</t>
  </si>
  <si>
    <t xml:space="preserve">Net % banks tightening C&amp;I lending standards</t>
  </si>
  <si>
    <t xml:space="preserve">Credit tightness signal for investor financing</t>
  </si>
  <si>
    <t xml:space="preserve">29</t>
  </si>
  <si>
    <t xml:space="preserve">PSAVERT</t>
  </si>
  <si>
    <t xml:space="preserve">Personal savings rate (%)</t>
  </si>
  <si>
    <t xml:space="preserve">Retail buyer down-payment ammo</t>
  </si>
  <si>
    <t xml:space="preserve">30</t>
  </si>
  <si>
    <t xml:space="preserve">TDSP</t>
  </si>
  <si>
    <t xml:space="preserve">Household debt service ratio</t>
  </si>
  <si>
    <t xml:space="preserve">Household financial stress</t>
  </si>
  <si>
    <t xml:space="preserve">31</t>
  </si>
  <si>
    <t xml:space="preserve">MDSP</t>
  </si>
  <si>
    <t xml:space="preserve">Mortgage debt service ratio</t>
  </si>
  <si>
    <t xml:space="preserve">Specifically mortgage-burden stress; LEADING indicator (-11 months)</t>
  </si>
  <si>
    <t xml:space="preserve">32</t>
  </si>
  <si>
    <t xml:space="preserve">CORESTICKM159SFRBATL</t>
  </si>
  <si>
    <t xml:space="preserve">Sticky-price core CPI (Atlanta Fed)</t>
  </si>
  <si>
    <t xml:space="preserve">Slow-moving inflation persistence</t>
  </si>
  <si>
    <t xml:space="preserve">33</t>
  </si>
  <si>
    <t xml:space="preserve">HSN1F</t>
  </si>
  <si>
    <t xml:space="preserve">New home sales</t>
  </si>
  <si>
    <t xml:space="preserve">Demand-side housing market activity</t>
  </si>
  <si>
    <t xml:space="preserve">Distress &amp; vacancy</t>
  </si>
  <si>
    <t xml:space="preserve">34</t>
  </si>
  <si>
    <t xml:space="preserve">RRVRUSQ156N</t>
  </si>
  <si>
    <t xml:space="preserve">National rental vacancy rate</t>
  </si>
  <si>
    <t xml:space="preserve">Investor opportunity cost; LEADING indicator (-11 months)</t>
  </si>
  <si>
    <t xml:space="preserve">35</t>
  </si>
  <si>
    <t xml:space="preserve">RHVRUSQ156N</t>
  </si>
  <si>
    <t xml:space="preserve">National homeowner vacancy rate</t>
  </si>
  <si>
    <t xml:space="preserve">Shadow inventory signal; LEADING indicator (-9 months)</t>
  </si>
  <si>
    <t xml:space="preserve">36</t>
  </si>
  <si>
    <t xml:space="preserve">DRSFRMACBS</t>
  </si>
  <si>
    <t xml:space="preserve">SF residential mortgage delinquency rate</t>
  </si>
  <si>
    <t xml:space="preserve">Sector-wide distress level (lagging confirmation)</t>
  </si>
  <si>
    <t xml:space="preserve">ZIP-level home market</t>
  </si>
  <si>
    <t xml:space="preserve">37</t>
  </si>
  <si>
    <t xml:space="preserve">zhvi</t>
  </si>
  <si>
    <t xml:space="preserve">Zillow Home Value Index, ZIP3-aggregated</t>
  </si>
  <si>
    <t xml:space="preserve">Zillow</t>
  </si>
  <si>
    <t xml:space="preserve">TOP DRIVER #8. Local price level — the property-value anchor</t>
  </si>
  <si>
    <t xml:space="preserve">38</t>
  </si>
  <si>
    <t xml:space="preserve">zori</t>
  </si>
  <si>
    <t xml:space="preserve">Zillow Observed Rent Index, ZIP3-aggregated</t>
  </si>
  <si>
    <t xml:space="preserve">Numerator of cap-rate; what investors can charge</t>
  </si>
  <si>
    <t xml:space="preserve">39</t>
  </si>
  <si>
    <t xml:space="preserve">rent_to_price</t>
  </si>
  <si>
    <t xml:space="preserve">(ZORI × 12) / ZHVI</t>
  </si>
  <si>
    <t xml:space="preserve">TOP DRIVER #10. Direct cap-rate proxy — investor decision input</t>
  </si>
  <si>
    <t xml:space="preserve">40</t>
  </si>
  <si>
    <t xml:space="preserve">zhvf_latest_forecast</t>
  </si>
  <si>
    <t xml:space="preserve">Zillow 1Y ahead price forecast (static)</t>
  </si>
  <si>
    <t xml:space="preserve">"Is this ZIP a growth area?" — static neighborhood attribute</t>
  </si>
  <si>
    <t xml:space="preserve">ACS demographics</t>
  </si>
  <si>
    <t xml:space="preserve">41</t>
  </si>
  <si>
    <t xml:space="preserve">median_hh_income</t>
  </si>
  <si>
    <t xml:space="preserve">ZIP3-aggregated median household income</t>
  </si>
  <si>
    <t xml:space="preserve">Census ACS</t>
  </si>
  <si>
    <t xml:space="preserve">Buyer-pool income context</t>
  </si>
  <si>
    <t xml:space="preserve">42</t>
  </si>
  <si>
    <t xml:space="preserve">pct_owner_occupied</t>
  </si>
  <si>
    <t xml:space="preserve">% owner-occupied housing in ZIP3</t>
  </si>
  <si>
    <t xml:space="preserve">Stable-neighborhood proxy; high owner-occ = more retail bidder activity</t>
  </si>
  <si>
    <t xml:space="preserve">43</t>
  </si>
  <si>
    <t xml:space="preserve">poverty_rate</t>
  </si>
  <si>
    <t xml:space="preserve">ZIP3 poverty rate (%)</t>
  </si>
  <si>
    <t xml:space="preserve">Distressed-neighborhood signal</t>
  </si>
  <si>
    <t xml:space="preserve">Neighborhood proxies</t>
  </si>
  <si>
    <t xml:space="preserve">44</t>
  </si>
  <si>
    <t xml:space="preserve">investor_density_proxy</t>
  </si>
  <si>
    <t xml:space="preserve">Seasonal vacancies / total units (ZIP3)</t>
  </si>
  <si>
    <t xml:space="preserve">Where investors are already concentrated</t>
  </si>
  <si>
    <t xml:space="preserve">45</t>
  </si>
  <si>
    <t xml:space="preserve">mortgage_leverage_ratio</t>
  </si>
  <si>
    <t xml:space="preserve">Mortgaged / owned-outright (ZIP3)</t>
  </si>
  <si>
    <t xml:space="preserve">Neighborhood-level financial fragility</t>
  </si>
  <si>
    <t xml:space="preserve">46</t>
  </si>
  <si>
    <t xml:space="preserve">shadow_inventory_proxy</t>
  </si>
  <si>
    <t xml:space="preserve">Sold-not-occupied / total units (ZIP3)</t>
  </si>
  <si>
    <t xml:space="preserve">Hidden supply overhang</t>
  </si>
  <si>
    <t xml:space="preserve">47</t>
  </si>
  <si>
    <t xml:space="preserve">rent_burden</t>
  </si>
  <si>
    <t xml:space="preserve">% renters paying &gt;30% income on rent (ZIP3)</t>
  </si>
  <si>
    <t xml:space="preserve">Renter market tightness</t>
  </si>
  <si>
    <t xml:space="preserve">48</t>
  </si>
  <si>
    <t xml:space="preserve">pct_new_construction</t>
  </si>
  <si>
    <t xml:space="preserve">% units built in last 10 years (ZIP3)</t>
  </si>
  <si>
    <t xml:space="preserve">Modern-stock indicator</t>
  </si>
  <si>
    <t xml:space="preserve">49</t>
  </si>
  <si>
    <t xml:space="preserve">education_index</t>
  </si>
  <si>
    <t xml:space="preserve">% with bachelor's+ degree (ZIP3)</t>
  </si>
  <si>
    <t xml:space="preserve">Buyer-pool quality / demand stability</t>
  </si>
  <si>
    <t xml:space="preserve">50</t>
  </si>
  <si>
    <t xml:space="preserve">market_tightness_proxy</t>
  </si>
  <si>
    <t xml:space="preserve">Vacant-for-sale / (vacant-for-rent + 1) (ZIP3)</t>
  </si>
  <si>
    <t xml:space="preserve">Buy-side vs rent-side market balance</t>
  </si>
  <si>
    <t xml:space="preserve">State economy</t>
  </si>
  <si>
    <t xml:space="preserve">51</t>
  </si>
  <si>
    <t xml:space="preserve">state_wkly_wage</t>
  </si>
  <si>
    <t xml:space="preserve">State weekly wages (BLS QCEW, quarterly)</t>
  </si>
  <si>
    <t xml:space="preserve">BLS</t>
  </si>
  <si>
    <t xml:space="preserve">Local income trajectory</t>
  </si>
  <si>
    <t xml:space="preserve">52</t>
  </si>
  <si>
    <t xml:space="preserve">state_total_inflow</t>
  </si>
  <si>
    <t xml:space="preserve">State migration inflow (IRS, annual)</t>
  </si>
  <si>
    <t xml:space="preserve">IRS SOI</t>
  </si>
  <si>
    <t xml:space="preserve">Population-flow demand proxy</t>
  </si>
  <si>
    <t xml:space="preserve">Categorical</t>
  </si>
  <si>
    <t xml:space="preserve">53</t>
  </si>
  <si>
    <t xml:space="preserve">state</t>
  </si>
  <si>
    <t xml:space="preserve">US state of property</t>
  </si>
  <si>
    <t xml:space="preserve">TOP DRIVER #1 — by far. AZ/UT/NV sell at 78-81%; Midwest as low as 29%. Geography dominates everything.</t>
  </si>
  <si>
    <t xml:space="preserve">54</t>
  </si>
  <si>
    <t xml:space="preserve">property_type</t>
  </si>
  <si>
    <t xml:space="preserve">SF, Condo, PUD, Co-op, Manufactured</t>
  </si>
  <si>
    <t xml:space="preserve">TOP DRIVER #5. Different bidder pools per property type</t>
  </si>
  <si>
    <t xml:space="preserve">55</t>
  </si>
  <si>
    <t xml:space="preserve">occupancy</t>
  </si>
  <si>
    <t xml:space="preserve">Owner-occupied, investor, second home</t>
  </si>
  <si>
    <t xml:space="preserve">Owner-occupied loans have different distress dynamics</t>
  </si>
  <si>
    <t xml:space="preserve">56</t>
  </si>
  <si>
    <t xml:space="preserve">channel_proxy</t>
  </si>
  <si>
    <t xml:space="preserve">Judicial vs Non-Judicial (state-inferred)</t>
  </si>
  <si>
    <t xml:space="preserve">Derived from state</t>
  </si>
  <si>
    <t xml:space="preserve">Auction venue proxy. Counterfactual proves: does not actually matter (0.4pp gap, 0.25% predictions change when flipped) — kept for completeness</t>
  </si>
  <si>
    <t xml:space="preserve">57</t>
  </si>
  <si>
    <t xml:space="preserve">income_tier</t>
  </si>
  <si>
    <t xml:space="preserve">Tier of borrower vs ZIP median income</t>
  </si>
  <si>
    <t xml:space="preserve">Borrower vs neighborhood-income mismatch signal</t>
  </si>
  <si>
    <t xml:space="preserve">Data Sources Summary</t>
  </si>
  <si>
    <t xml:space="preserve">Each external source, what it provides, and refresh cadence</t>
  </si>
  <si>
    <t xml:space="preserve">Provider</t>
  </si>
  <si>
    <t xml:space="preserve">What it provides</t>
  </si>
  <si>
    <t xml:space="preserve">Refresh cadence</t>
  </si>
  <si>
    <t xml:space="preserve">Coverage in final model</t>
  </si>
  <si>
    <t xml:space="preserve">GSE Loan Performance</t>
  </si>
  <si>
    <t xml:space="preserve">Fannie Mae + Freddie Mac</t>
  </si>
  <si>
    <t xml:space="preserve">Loan-level origination + monthly performance + disposition outcomes</t>
  </si>
  <si>
    <t xml:space="preserve">Quarterly</t>
  </si>
  <si>
    <t xml:space="preserve">100% (target population)</t>
  </si>
  <si>
    <t xml:space="preserve">FHFA HPI</t>
  </si>
  <si>
    <t xml:space="preserve">Federal Housing Finance Agency</t>
  </si>
  <si>
    <t xml:space="preserve">State and MSA home price indices</t>
  </si>
  <si>
    <t xml:space="preserve">100% state, 90% MSA</t>
  </si>
  <si>
    <t xml:space="preserve">St. Louis Fed</t>
  </si>
  <si>
    <t xml:space="preserve">15+ macro series: rates, employment, sentiment, credit, vacancy</t>
  </si>
  <si>
    <t xml:space="preserve">Monthly / Quarterly</t>
  </si>
  <si>
    <t xml:space="preserve">95-99% across series</t>
  </si>
  <si>
    <t xml:space="preserve">Zillow ZHVI</t>
  </si>
  <si>
    <t xml:space="preserve">ZIP-level home value index (monthly)</t>
  </si>
  <si>
    <t xml:space="preserve">Monthly</t>
  </si>
  <si>
    <t xml:space="preserve">99% (after zip3 fix)</t>
  </si>
  <si>
    <t xml:space="preserve">Zillow ZORI</t>
  </si>
  <si>
    <t xml:space="preserve">ZIP-level observed rent index</t>
  </si>
  <si>
    <t xml:space="preserve">70-90% (sparse rural ZIPs)</t>
  </si>
  <si>
    <t xml:space="preserve">Zillow ZHVF</t>
  </si>
  <si>
    <t xml:space="preserve">ZIP-level forward home value forecast</t>
  </si>
  <si>
    <t xml:space="preserve">Monthly (static usage)</t>
  </si>
  <si>
    <t xml:space="preserve">95% (as static attribute)</t>
  </si>
  <si>
    <t xml:space="preserve">Realtor.com / Move Inc.</t>
  </si>
  <si>
    <t xml:space="preserve">Metro inventory: active listings, DOM, list price, new listings</t>
  </si>
  <si>
    <t xml:space="preserve">~85% with national fallback</t>
  </si>
  <si>
    <t xml:space="preserve">US Census Bureau</t>
  </si>
  <si>
    <t xml:space="preserve">Demographics, housing, income at ZCTA level</t>
  </si>
  <si>
    <t xml:space="preserve">Annual (5-year)</t>
  </si>
  <si>
    <t xml:space="preserve">BLS QCEW</t>
  </si>
  <si>
    <t xml:space="preserve">Bureau of Labor Statistics</t>
  </si>
  <si>
    <t xml:space="preserve">State weekly wages (quarterly)</t>
  </si>
  <si>
    <t xml:space="preserve">100% state-level</t>
  </si>
  <si>
    <t xml:space="preserve">IRS SOI Migration</t>
  </si>
  <si>
    <t xml:space="preserve">IRS Statistics of Income</t>
  </si>
  <si>
    <t xml:space="preserve">County-level migration inflow / outflow</t>
  </si>
  <si>
    <t xml:space="preserve">Annual</t>
  </si>
  <si>
    <t xml:space="preserve">100% county-level</t>
  </si>
  <si>
    <t xml:space="preserve">FEMA NRI</t>
  </si>
  <si>
    <t xml:space="preserve">FEMA</t>
  </si>
  <si>
    <t xml:space="preserve">County natural-hazard, social vulnerability, resilience scores</t>
  </si>
  <si>
    <t xml:space="preserve">EXCLUDED — IP-blocked from cloud egress</t>
  </si>
  <si>
    <t xml:space="preserve">HMDA</t>
  </si>
  <si>
    <t xml:space="preserve">CFPB</t>
  </si>
  <si>
    <t xml:space="preserve">Mortgage application data</t>
  </si>
  <si>
    <t xml:space="preserve">Judicial classification</t>
  </si>
  <si>
    <t xml:space="preserve">Industry standard maps</t>
  </si>
  <si>
    <t xml:space="preserve">State legal foreclosure framework</t>
  </si>
  <si>
    <t xml:space="preserve">Static</t>
  </si>
  <si>
    <t xml:space="preserve">100%</t>
  </si>
  <si>
    <t xml:space="preserve">Top 10 Model Drivers (by SHAP)</t>
  </si>
  <si>
    <t xml:space="preserve">Mean absolute SHAP across 2,000 test-set predictions. Top 5 account for ~60% of total |SHAP|.</t>
  </si>
  <si>
    <t xml:space="preserve">Rank</t>
  </si>
  <si>
    <t xml:space="preserve">Feature</t>
  </si>
  <si>
    <t xml:space="preserve">Mean |SHAP|</t>
  </si>
  <si>
    <t xml:space="preserve">Why it matters</t>
  </si>
  <si>
    <t xml:space="preserve">Geographic dominance. AZ/UT/NV sell 75-81%; Midwest &lt;40%.</t>
  </si>
  <si>
    <t xml:space="preserve">Residual equity attracts investor bids.</t>
  </si>
  <si>
    <t xml:space="preserve">Auction starting price relative to market value.</t>
  </si>
  <si>
    <t xml:space="preserve">Debt overhang at disposition.</t>
  </si>
  <si>
    <t xml:space="preserve">SF / Condo / Co-op / Manufactured / PUD distinctions.</t>
  </si>
  <si>
    <t xml:space="preserve">Origination-era leverage; persistent risk indicator.</t>
  </si>
  <si>
    <t xml:space="preserve">Metro price level (Realtor.com).</t>
  </si>
  <si>
    <t xml:space="preserve">ZIP-aggregated Zillow home value index.</t>
  </si>
  <si>
    <t xml:space="preserve">Metro inventory flow.</t>
  </si>
  <si>
    <t xml:space="preserve">Investor cap-rate proxy.</t>
  </si>
  <si>
    <t xml:space="preserve">Sum of top 5:</t>
  </si>
  <si>
    <t xml:space="preserve">Sum of all 10:</t>
  </si>
  <si>
    <t xml:space="preserve">Top 5 share: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</si>
</sst>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General"/>
    <numFmt numFmtId="166" formatCode="0.0%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E2761"/>
      <name val="Calibri"/>
      <family val="0"/>
      <charset val="1"/>
    </font>
    <font>
      <i val="true"/>
      <sz val="10"/>
      <color rgb="FF595959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b val="true"/>
      <sz val="10"/>
      <color rgb="FF1E2761"/>
      <name val="Calibri"/>
      <family val="0"/>
      <charset val="1"/>
    </font>
    <font>
      <sz val="10"/>
      <color rgb="FF000000"/>
      <name val="Calibri"/>
      <family val="0"/>
      <charset val="1"/>
    </font>
    <font>
      <sz val="10"/>
      <name val="Calibri"/>
      <family val="0"/>
      <charset val="1"/>
    </font>
    <font>
      <sz val="10"/>
      <color rgb="FFC0392B"/>
      <name val="Calibri"/>
      <family val="0"/>
      <charset val="1"/>
    </font>
    <font>
      <b val="true"/>
      <sz val="10"/>
      <name val="Calibri"/>
      <family val="0"/>
      <charset val="1"/>
    </font>
    <font>
      <b val="true"/>
      <sz val="10"/>
      <color rgb="FFE6A5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E2761"/>
        <bgColor rgb="FF333333"/>
      </patternFill>
    </fill>
    <fill>
      <patternFill patternType="solid">
        <fgColor rgb="FFEFF3FB"/>
        <bgColor rgb="FFF8F8F8"/>
      </patternFill>
    </fill>
    <fill>
      <patternFill patternType="solid">
        <fgColor rgb="FFF8F8F8"/>
        <bgColor rgb="FFFBF1F0"/>
      </patternFill>
    </fill>
    <fill>
      <patternFill patternType="solid">
        <fgColor rgb="FFFFF8E1"/>
        <bgColor rgb="FFFBF1F0"/>
      </patternFill>
    </fill>
    <fill>
      <patternFill patternType="solid">
        <fgColor rgb="FFFBF1F0"/>
        <bgColor rgb="FFF8F8F8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5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0" fillId="6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5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11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2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1E2761"/>
          <bgColor rgb="FF000000"/>
        </patternFill>
      </fill>
    </dxf>
    <dxf>
      <fill>
        <patternFill patternType="solid">
          <fgColor rgb="FFEFF3FB"/>
          <bgColor rgb="FF000000"/>
        </patternFill>
      </fill>
    </dxf>
    <dxf>
      <fill>
        <patternFill patternType="solid">
          <fgColor rgb="FFF8F8F8"/>
          <bgColor rgb="FF000000"/>
        </patternFill>
      </fill>
    </dxf>
    <dxf>
      <fill>
        <patternFill patternType="solid">
          <fgColor rgb="FFFFF8E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F3FB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8F8F8"/>
      <rgbColor rgb="FFFBF1F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E6A500"/>
      <rgbColor rgb="FFFF6600"/>
      <rgbColor rgb="FF595959"/>
      <rgbColor rgb="FF969696"/>
      <rgbColor rgb="FF1E2761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6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4"/>
    <col collapsed="false" customWidth="true" hidden="false" outlineLevel="0" max="3" min="3" style="0" width="24"/>
    <col collapsed="false" customWidth="true" hidden="false" outlineLevel="0" max="4" min="4" style="0" width="40"/>
    <col collapsed="false" customWidth="true" hidden="false" outlineLevel="0" max="5" min="5" style="0" width="16"/>
    <col collapsed="false" customWidth="true" hidden="false" outlineLevel="0" max="6" min="6" style="0" width="50"/>
    <col collapsed="false" customWidth="true" hidden="false" outlineLevel="0" max="7" min="7" style="0" width="12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</row>
    <row r="2" customFormat="false" ht="15" hidden="false" customHeight="false" outlineLevel="0" collapsed="false">
      <c r="A2" s="2" t="s">
        <v>1</v>
      </c>
      <c r="B2" s="2"/>
      <c r="C2" s="2"/>
      <c r="D2" s="2"/>
      <c r="E2" s="2"/>
      <c r="F2" s="2"/>
      <c r="G2" s="2"/>
    </row>
    <row r="4" customFormat="false" ht="24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</row>
    <row r="5" customFormat="false" ht="23.85" hidden="false" customHeight="false" outlineLevel="0" collapsed="false">
      <c r="A5" s="4" t="s">
        <v>9</v>
      </c>
      <c r="B5" s="5"/>
      <c r="C5" s="5" t="s">
        <v>10</v>
      </c>
      <c r="D5" s="5" t="s">
        <v>11</v>
      </c>
      <c r="E5" s="5" t="s">
        <v>12</v>
      </c>
      <c r="F5" s="5" t="s">
        <v>13</v>
      </c>
      <c r="G5" s="5" t="s">
        <v>14</v>
      </c>
    </row>
    <row r="6" customFormat="false" ht="23.85" hidden="false" customHeight="false" outlineLevel="0" collapsed="false">
      <c r="A6" s="4" t="s">
        <v>15</v>
      </c>
      <c r="B6" s="5" t="s">
        <v>16</v>
      </c>
      <c r="C6" s="5" t="s">
        <v>17</v>
      </c>
      <c r="D6" s="5" t="s">
        <v>18</v>
      </c>
      <c r="E6" s="5" t="s">
        <v>12</v>
      </c>
      <c r="F6" s="5" t="s">
        <v>19</v>
      </c>
      <c r="G6" s="5" t="s">
        <v>20</v>
      </c>
    </row>
    <row r="7" customFormat="false" ht="15" hidden="false" customHeight="false" outlineLevel="0" collapsed="false">
      <c r="A7" s="6" t="s">
        <v>15</v>
      </c>
      <c r="B7" s="6" t="s">
        <v>21</v>
      </c>
      <c r="C7" s="6" t="s">
        <v>22</v>
      </c>
      <c r="D7" s="6" t="s">
        <v>23</v>
      </c>
      <c r="E7" s="6" t="s">
        <v>12</v>
      </c>
      <c r="F7" s="6" t="s">
        <v>24</v>
      </c>
      <c r="G7" s="6" t="s">
        <v>20</v>
      </c>
    </row>
    <row r="8" customFormat="false" ht="23.85" hidden="false" customHeight="false" outlineLevel="0" collapsed="false">
      <c r="A8" s="7" t="s">
        <v>15</v>
      </c>
      <c r="B8" s="7" t="s">
        <v>25</v>
      </c>
      <c r="C8" s="7" t="s">
        <v>26</v>
      </c>
      <c r="D8" s="7" t="s">
        <v>27</v>
      </c>
      <c r="E8" s="7" t="s">
        <v>12</v>
      </c>
      <c r="F8" s="7" t="s">
        <v>28</v>
      </c>
      <c r="G8" s="7" t="s">
        <v>20</v>
      </c>
    </row>
    <row r="9" customFormat="false" ht="23.85" hidden="false" customHeight="false" outlineLevel="0" collapsed="false">
      <c r="A9" s="8" t="s">
        <v>15</v>
      </c>
      <c r="B9" s="8" t="s">
        <v>29</v>
      </c>
      <c r="C9" s="8" t="s">
        <v>30</v>
      </c>
      <c r="D9" s="8" t="s">
        <v>31</v>
      </c>
      <c r="E9" s="8" t="s">
        <v>32</v>
      </c>
      <c r="F9" s="8" t="s">
        <v>33</v>
      </c>
      <c r="G9" s="8" t="s">
        <v>20</v>
      </c>
    </row>
    <row r="10" customFormat="false" ht="23.85" hidden="false" customHeight="false" outlineLevel="0" collapsed="false">
      <c r="A10" s="8" t="s">
        <v>15</v>
      </c>
      <c r="B10" s="8" t="s">
        <v>34</v>
      </c>
      <c r="C10" s="8" t="s">
        <v>35</v>
      </c>
      <c r="D10" s="8" t="s">
        <v>36</v>
      </c>
      <c r="E10" s="8" t="s">
        <v>32</v>
      </c>
      <c r="F10" s="8" t="s">
        <v>37</v>
      </c>
      <c r="G10" s="8" t="s">
        <v>20</v>
      </c>
    </row>
    <row r="11" customFormat="false" ht="15" hidden="false" customHeight="false" outlineLevel="0" collapsed="false">
      <c r="A11" s="6" t="s">
        <v>15</v>
      </c>
      <c r="B11" s="6" t="s">
        <v>38</v>
      </c>
      <c r="C11" s="6" t="s">
        <v>39</v>
      </c>
      <c r="D11" s="6" t="s">
        <v>40</v>
      </c>
      <c r="E11" s="6" t="s">
        <v>41</v>
      </c>
      <c r="F11" s="6" t="s">
        <v>42</v>
      </c>
      <c r="G11" s="6" t="s">
        <v>20</v>
      </c>
    </row>
    <row r="12" customFormat="false" ht="15" hidden="false" customHeight="false" outlineLevel="0" collapsed="false">
      <c r="A12" s="8" t="s">
        <v>15</v>
      </c>
      <c r="B12" s="8" t="s">
        <v>43</v>
      </c>
      <c r="C12" s="8" t="s">
        <v>44</v>
      </c>
      <c r="D12" s="8" t="s">
        <v>45</v>
      </c>
      <c r="E12" s="8" t="s">
        <v>32</v>
      </c>
      <c r="F12" s="8" t="s">
        <v>46</v>
      </c>
      <c r="G12" s="8" t="s">
        <v>20</v>
      </c>
    </row>
    <row r="13" customFormat="false" ht="15" hidden="false" customHeight="false" outlineLevel="0" collapsed="false">
      <c r="A13" s="6" t="s">
        <v>15</v>
      </c>
      <c r="B13" s="6" t="s">
        <v>47</v>
      </c>
      <c r="C13" s="6" t="s">
        <v>48</v>
      </c>
      <c r="D13" s="6" t="s">
        <v>49</v>
      </c>
      <c r="E13" s="6" t="s">
        <v>12</v>
      </c>
      <c r="F13" s="6" t="s">
        <v>50</v>
      </c>
      <c r="G13" s="6" t="s">
        <v>20</v>
      </c>
    </row>
    <row r="14" customFormat="false" ht="23.85" hidden="false" customHeight="false" outlineLevel="0" collapsed="false">
      <c r="A14" s="4" t="s">
        <v>51</v>
      </c>
      <c r="B14" s="5" t="s">
        <v>52</v>
      </c>
      <c r="C14" s="5" t="s">
        <v>53</v>
      </c>
      <c r="D14" s="5" t="s">
        <v>54</v>
      </c>
      <c r="E14" s="5" t="s">
        <v>55</v>
      </c>
      <c r="F14" s="5" t="s">
        <v>56</v>
      </c>
      <c r="G14" s="5" t="s">
        <v>20</v>
      </c>
    </row>
    <row r="15" customFormat="false" ht="23.85" hidden="false" customHeight="false" outlineLevel="0" collapsed="false">
      <c r="A15" s="6" t="s">
        <v>51</v>
      </c>
      <c r="B15" s="6" t="s">
        <v>57</v>
      </c>
      <c r="C15" s="6" t="s">
        <v>58</v>
      </c>
      <c r="D15" s="6" t="s">
        <v>59</v>
      </c>
      <c r="E15" s="6" t="s">
        <v>55</v>
      </c>
      <c r="F15" s="6" t="s">
        <v>60</v>
      </c>
      <c r="G15" s="6" t="s">
        <v>20</v>
      </c>
    </row>
    <row r="16" customFormat="false" ht="23.85" hidden="false" customHeight="false" outlineLevel="0" collapsed="false">
      <c r="A16" s="7" t="s">
        <v>51</v>
      </c>
      <c r="B16" s="7" t="s">
        <v>61</v>
      </c>
      <c r="C16" s="7" t="s">
        <v>62</v>
      </c>
      <c r="D16" s="7" t="s">
        <v>63</v>
      </c>
      <c r="E16" s="7" t="s">
        <v>55</v>
      </c>
      <c r="F16" s="7" t="s">
        <v>64</v>
      </c>
      <c r="G16" s="7" t="s">
        <v>20</v>
      </c>
    </row>
    <row r="17" customFormat="false" ht="23.85" hidden="false" customHeight="false" outlineLevel="0" collapsed="false">
      <c r="A17" s="6" t="s">
        <v>51</v>
      </c>
      <c r="B17" s="6" t="s">
        <v>65</v>
      </c>
      <c r="C17" s="6" t="s">
        <v>66</v>
      </c>
      <c r="D17" s="6" t="s">
        <v>67</v>
      </c>
      <c r="E17" s="6" t="s">
        <v>32</v>
      </c>
      <c r="F17" s="6" t="s">
        <v>68</v>
      </c>
      <c r="G17" s="6" t="s">
        <v>20</v>
      </c>
    </row>
    <row r="18" customFormat="false" ht="15" hidden="false" customHeight="false" outlineLevel="0" collapsed="false">
      <c r="A18" s="4" t="s">
        <v>69</v>
      </c>
      <c r="B18" s="5" t="s">
        <v>70</v>
      </c>
      <c r="C18" s="5" t="s">
        <v>71</v>
      </c>
      <c r="D18" s="5" t="s">
        <v>72</v>
      </c>
      <c r="E18" s="5" t="s">
        <v>73</v>
      </c>
      <c r="F18" s="5" t="s">
        <v>74</v>
      </c>
      <c r="G18" s="5" t="s">
        <v>20</v>
      </c>
    </row>
    <row r="19" customFormat="false" ht="15" hidden="false" customHeight="false" outlineLevel="0" collapsed="false">
      <c r="A19" s="6" t="s">
        <v>69</v>
      </c>
      <c r="B19" s="6" t="s">
        <v>75</v>
      </c>
      <c r="C19" s="6" t="s">
        <v>76</v>
      </c>
      <c r="D19" s="6" t="s">
        <v>77</v>
      </c>
      <c r="E19" s="6" t="s">
        <v>73</v>
      </c>
      <c r="F19" s="6" t="s">
        <v>78</v>
      </c>
      <c r="G19" s="6" t="s">
        <v>20</v>
      </c>
    </row>
    <row r="20" customFormat="false" ht="23.85" hidden="false" customHeight="false" outlineLevel="0" collapsed="false">
      <c r="A20" s="7" t="s">
        <v>69</v>
      </c>
      <c r="B20" s="7" t="s">
        <v>79</v>
      </c>
      <c r="C20" s="7" t="s">
        <v>80</v>
      </c>
      <c r="D20" s="7" t="s">
        <v>81</v>
      </c>
      <c r="E20" s="7" t="s">
        <v>32</v>
      </c>
      <c r="F20" s="7" t="s">
        <v>82</v>
      </c>
      <c r="G20" s="7" t="s">
        <v>20</v>
      </c>
    </row>
    <row r="21" customFormat="false" ht="23.85" hidden="false" customHeight="false" outlineLevel="0" collapsed="false">
      <c r="A21" s="4" t="s">
        <v>83</v>
      </c>
      <c r="B21" s="5" t="s">
        <v>84</v>
      </c>
      <c r="C21" s="5" t="s">
        <v>85</v>
      </c>
      <c r="D21" s="5" t="s">
        <v>86</v>
      </c>
      <c r="E21" s="5" t="s">
        <v>73</v>
      </c>
      <c r="F21" s="5" t="s">
        <v>87</v>
      </c>
      <c r="G21" s="5" t="s">
        <v>20</v>
      </c>
    </row>
    <row r="22" customFormat="false" ht="15" hidden="false" customHeight="false" outlineLevel="0" collapsed="false">
      <c r="A22" s="7" t="s">
        <v>83</v>
      </c>
      <c r="B22" s="7" t="s">
        <v>88</v>
      </c>
      <c r="C22" s="7" t="s">
        <v>89</v>
      </c>
      <c r="D22" s="7" t="s">
        <v>90</v>
      </c>
      <c r="E22" s="7" t="s">
        <v>73</v>
      </c>
      <c r="F22" s="7" t="s">
        <v>91</v>
      </c>
      <c r="G22" s="7" t="s">
        <v>20</v>
      </c>
    </row>
    <row r="23" customFormat="false" ht="15" hidden="false" customHeight="false" outlineLevel="0" collapsed="false">
      <c r="A23" s="6" t="s">
        <v>83</v>
      </c>
      <c r="B23" s="6" t="s">
        <v>92</v>
      </c>
      <c r="C23" s="6" t="s">
        <v>93</v>
      </c>
      <c r="D23" s="6" t="s">
        <v>94</v>
      </c>
      <c r="E23" s="6" t="s">
        <v>73</v>
      </c>
      <c r="F23" s="6" t="s">
        <v>95</v>
      </c>
      <c r="G23" s="6" t="s">
        <v>20</v>
      </c>
    </row>
    <row r="24" customFormat="false" ht="23.85" hidden="false" customHeight="false" outlineLevel="0" collapsed="false">
      <c r="A24" s="4" t="s">
        <v>96</v>
      </c>
      <c r="B24" s="5" t="s">
        <v>97</v>
      </c>
      <c r="C24" s="5" t="s">
        <v>98</v>
      </c>
      <c r="D24" s="5" t="s">
        <v>99</v>
      </c>
      <c r="E24" s="5" t="s">
        <v>73</v>
      </c>
      <c r="F24" s="5" t="s">
        <v>100</v>
      </c>
      <c r="G24" s="5" t="s">
        <v>20</v>
      </c>
    </row>
    <row r="25" customFormat="false" ht="23.85" hidden="false" customHeight="false" outlineLevel="0" collapsed="false">
      <c r="A25" s="6" t="s">
        <v>96</v>
      </c>
      <c r="B25" s="6" t="s">
        <v>101</v>
      </c>
      <c r="C25" s="6" t="s">
        <v>102</v>
      </c>
      <c r="D25" s="6" t="s">
        <v>103</v>
      </c>
      <c r="E25" s="6" t="s">
        <v>73</v>
      </c>
      <c r="F25" s="6" t="s">
        <v>104</v>
      </c>
      <c r="G25" s="6" t="s">
        <v>20</v>
      </c>
    </row>
    <row r="26" customFormat="false" ht="15" hidden="false" customHeight="false" outlineLevel="0" collapsed="false">
      <c r="A26" s="7" t="s">
        <v>96</v>
      </c>
      <c r="B26" s="7" t="s">
        <v>105</v>
      </c>
      <c r="C26" s="7" t="s">
        <v>106</v>
      </c>
      <c r="D26" s="7" t="s">
        <v>107</v>
      </c>
      <c r="E26" s="7" t="s">
        <v>73</v>
      </c>
      <c r="F26" s="7" t="s">
        <v>108</v>
      </c>
      <c r="G26" s="7" t="s">
        <v>20</v>
      </c>
    </row>
    <row r="27" customFormat="false" ht="15" hidden="false" customHeight="false" outlineLevel="0" collapsed="false">
      <c r="A27" s="6" t="s">
        <v>96</v>
      </c>
      <c r="B27" s="6" t="s">
        <v>109</v>
      </c>
      <c r="C27" s="6" t="s">
        <v>110</v>
      </c>
      <c r="D27" s="6" t="s">
        <v>111</v>
      </c>
      <c r="E27" s="6" t="s">
        <v>73</v>
      </c>
      <c r="F27" s="6" t="s">
        <v>112</v>
      </c>
      <c r="G27" s="6" t="s">
        <v>20</v>
      </c>
    </row>
    <row r="28" customFormat="false" ht="15" hidden="false" customHeight="false" outlineLevel="0" collapsed="false">
      <c r="A28" s="4" t="s">
        <v>113</v>
      </c>
      <c r="B28" s="5" t="s">
        <v>114</v>
      </c>
      <c r="C28" s="5" t="s">
        <v>115</v>
      </c>
      <c r="D28" s="5" t="s">
        <v>116</v>
      </c>
      <c r="E28" s="5" t="s">
        <v>117</v>
      </c>
      <c r="F28" s="5" t="s">
        <v>118</v>
      </c>
      <c r="G28" s="5" t="s">
        <v>20</v>
      </c>
    </row>
    <row r="29" customFormat="false" ht="15" hidden="false" customHeight="false" outlineLevel="0" collapsed="false">
      <c r="A29" s="6" t="s">
        <v>113</v>
      </c>
      <c r="B29" s="6" t="s">
        <v>119</v>
      </c>
      <c r="C29" s="6" t="s">
        <v>120</v>
      </c>
      <c r="D29" s="6" t="s">
        <v>121</v>
      </c>
      <c r="E29" s="6" t="s">
        <v>117</v>
      </c>
      <c r="F29" s="6" t="s">
        <v>122</v>
      </c>
      <c r="G29" s="6" t="s">
        <v>20</v>
      </c>
    </row>
    <row r="30" customFormat="false" ht="15" hidden="false" customHeight="false" outlineLevel="0" collapsed="false">
      <c r="A30" s="7" t="s">
        <v>113</v>
      </c>
      <c r="B30" s="7" t="s">
        <v>123</v>
      </c>
      <c r="C30" s="7" t="s">
        <v>124</v>
      </c>
      <c r="D30" s="7" t="s">
        <v>125</v>
      </c>
      <c r="E30" s="7" t="s">
        <v>117</v>
      </c>
      <c r="F30" s="7" t="s">
        <v>108</v>
      </c>
      <c r="G30" s="7" t="s">
        <v>20</v>
      </c>
    </row>
    <row r="31" customFormat="false" ht="15" hidden="false" customHeight="false" outlineLevel="0" collapsed="false">
      <c r="A31" s="6" t="s">
        <v>113</v>
      </c>
      <c r="B31" s="6" t="s">
        <v>126</v>
      </c>
      <c r="C31" s="6" t="s">
        <v>127</v>
      </c>
      <c r="D31" s="6" t="s">
        <v>128</v>
      </c>
      <c r="E31" s="6" t="s">
        <v>117</v>
      </c>
      <c r="F31" s="6" t="s">
        <v>129</v>
      </c>
      <c r="G31" s="6" t="s">
        <v>20</v>
      </c>
    </row>
    <row r="32" customFormat="false" ht="23.85" hidden="false" customHeight="false" outlineLevel="0" collapsed="false">
      <c r="A32" s="4" t="s">
        <v>130</v>
      </c>
      <c r="B32" s="5" t="s">
        <v>131</v>
      </c>
      <c r="C32" s="5" t="s">
        <v>132</v>
      </c>
      <c r="D32" s="5" t="s">
        <v>133</v>
      </c>
      <c r="E32" s="5" t="s">
        <v>73</v>
      </c>
      <c r="F32" s="5" t="s">
        <v>134</v>
      </c>
      <c r="G32" s="5" t="s">
        <v>20</v>
      </c>
    </row>
    <row r="33" customFormat="false" ht="15" hidden="false" customHeight="false" outlineLevel="0" collapsed="false">
      <c r="A33" s="6" t="s">
        <v>130</v>
      </c>
      <c r="B33" s="6" t="s">
        <v>135</v>
      </c>
      <c r="C33" s="6" t="s">
        <v>136</v>
      </c>
      <c r="D33" s="6" t="s">
        <v>137</v>
      </c>
      <c r="E33" s="6" t="s">
        <v>73</v>
      </c>
      <c r="F33" s="6" t="s">
        <v>138</v>
      </c>
      <c r="G33" s="6" t="s">
        <v>20</v>
      </c>
    </row>
    <row r="34" customFormat="false" ht="15" hidden="false" customHeight="false" outlineLevel="0" collapsed="false">
      <c r="A34" s="7" t="s">
        <v>130</v>
      </c>
      <c r="B34" s="7" t="s">
        <v>139</v>
      </c>
      <c r="C34" s="7" t="s">
        <v>140</v>
      </c>
      <c r="D34" s="7" t="s">
        <v>141</v>
      </c>
      <c r="E34" s="7" t="s">
        <v>73</v>
      </c>
      <c r="F34" s="7" t="s">
        <v>142</v>
      </c>
      <c r="G34" s="7" t="s">
        <v>20</v>
      </c>
    </row>
    <row r="35" customFormat="false" ht="15" hidden="false" customHeight="false" outlineLevel="0" collapsed="false">
      <c r="A35" s="6" t="s">
        <v>130</v>
      </c>
      <c r="B35" s="6" t="s">
        <v>143</v>
      </c>
      <c r="C35" s="6" t="s">
        <v>144</v>
      </c>
      <c r="D35" s="6" t="s">
        <v>145</v>
      </c>
      <c r="E35" s="6" t="s">
        <v>73</v>
      </c>
      <c r="F35" s="6" t="s">
        <v>146</v>
      </c>
      <c r="G35" s="6" t="s">
        <v>20</v>
      </c>
    </row>
    <row r="36" customFormat="false" ht="23.85" hidden="false" customHeight="false" outlineLevel="0" collapsed="false">
      <c r="A36" s="7" t="s">
        <v>130</v>
      </c>
      <c r="B36" s="7" t="s">
        <v>147</v>
      </c>
      <c r="C36" s="7" t="s">
        <v>148</v>
      </c>
      <c r="D36" s="7" t="s">
        <v>149</v>
      </c>
      <c r="E36" s="7" t="s">
        <v>73</v>
      </c>
      <c r="F36" s="7" t="s">
        <v>150</v>
      </c>
      <c r="G36" s="7" t="s">
        <v>20</v>
      </c>
    </row>
    <row r="37" customFormat="false" ht="15" hidden="false" customHeight="false" outlineLevel="0" collapsed="false">
      <c r="A37" s="6" t="s">
        <v>130</v>
      </c>
      <c r="B37" s="6" t="s">
        <v>151</v>
      </c>
      <c r="C37" s="6" t="s">
        <v>152</v>
      </c>
      <c r="D37" s="6" t="s">
        <v>153</v>
      </c>
      <c r="E37" s="6" t="s">
        <v>73</v>
      </c>
      <c r="F37" s="6" t="s">
        <v>154</v>
      </c>
      <c r="G37" s="6" t="s">
        <v>20</v>
      </c>
    </row>
    <row r="38" customFormat="false" ht="15" hidden="false" customHeight="false" outlineLevel="0" collapsed="false">
      <c r="A38" s="7" t="s">
        <v>130</v>
      </c>
      <c r="B38" s="7" t="s">
        <v>155</v>
      </c>
      <c r="C38" s="7" t="s">
        <v>156</v>
      </c>
      <c r="D38" s="7" t="s">
        <v>157</v>
      </c>
      <c r="E38" s="7" t="s">
        <v>73</v>
      </c>
      <c r="F38" s="7" t="s">
        <v>158</v>
      </c>
      <c r="G38" s="7" t="s">
        <v>20</v>
      </c>
    </row>
    <row r="39" customFormat="false" ht="15" hidden="false" customHeight="false" outlineLevel="0" collapsed="false">
      <c r="A39" s="4" t="s">
        <v>159</v>
      </c>
      <c r="B39" s="5" t="s">
        <v>160</v>
      </c>
      <c r="C39" s="5" t="s">
        <v>161</v>
      </c>
      <c r="D39" s="5" t="s">
        <v>162</v>
      </c>
      <c r="E39" s="5" t="s">
        <v>73</v>
      </c>
      <c r="F39" s="5" t="s">
        <v>163</v>
      </c>
      <c r="G39" s="5" t="s">
        <v>20</v>
      </c>
    </row>
    <row r="40" customFormat="false" ht="15" hidden="false" customHeight="false" outlineLevel="0" collapsed="false">
      <c r="A40" s="7" t="s">
        <v>159</v>
      </c>
      <c r="B40" s="7" t="s">
        <v>164</v>
      </c>
      <c r="C40" s="7" t="s">
        <v>165</v>
      </c>
      <c r="D40" s="7" t="s">
        <v>166</v>
      </c>
      <c r="E40" s="7" t="s">
        <v>73</v>
      </c>
      <c r="F40" s="7" t="s">
        <v>167</v>
      </c>
      <c r="G40" s="7" t="s">
        <v>20</v>
      </c>
    </row>
    <row r="41" customFormat="false" ht="15" hidden="false" customHeight="false" outlineLevel="0" collapsed="false">
      <c r="A41" s="6" t="s">
        <v>159</v>
      </c>
      <c r="B41" s="6" t="s">
        <v>168</v>
      </c>
      <c r="C41" s="6" t="s">
        <v>169</v>
      </c>
      <c r="D41" s="6" t="s">
        <v>170</v>
      </c>
      <c r="E41" s="6" t="s">
        <v>73</v>
      </c>
      <c r="F41" s="6" t="s">
        <v>171</v>
      </c>
      <c r="G41" s="6" t="s">
        <v>20</v>
      </c>
    </row>
    <row r="42" customFormat="false" ht="15" hidden="false" customHeight="false" outlineLevel="0" collapsed="false">
      <c r="A42" s="9" t="s">
        <v>172</v>
      </c>
      <c r="B42" s="8" t="s">
        <v>173</v>
      </c>
      <c r="C42" s="8" t="s">
        <v>174</v>
      </c>
      <c r="D42" s="8" t="s">
        <v>175</v>
      </c>
      <c r="E42" s="8" t="s">
        <v>176</v>
      </c>
      <c r="F42" s="8" t="s">
        <v>177</v>
      </c>
      <c r="G42" s="8" t="s">
        <v>20</v>
      </c>
    </row>
    <row r="43" customFormat="false" ht="15" hidden="false" customHeight="false" outlineLevel="0" collapsed="false">
      <c r="A43" s="6" t="s">
        <v>172</v>
      </c>
      <c r="B43" s="6" t="s">
        <v>178</v>
      </c>
      <c r="C43" s="6" t="s">
        <v>179</v>
      </c>
      <c r="D43" s="6" t="s">
        <v>180</v>
      </c>
      <c r="E43" s="6" t="s">
        <v>176</v>
      </c>
      <c r="F43" s="6" t="s">
        <v>181</v>
      </c>
      <c r="G43" s="6" t="s">
        <v>20</v>
      </c>
    </row>
    <row r="44" customFormat="false" ht="15" hidden="false" customHeight="false" outlineLevel="0" collapsed="false">
      <c r="A44" s="8" t="s">
        <v>172</v>
      </c>
      <c r="B44" s="8" t="s">
        <v>182</v>
      </c>
      <c r="C44" s="8" t="s">
        <v>183</v>
      </c>
      <c r="D44" s="8" t="s">
        <v>184</v>
      </c>
      <c r="E44" s="8" t="s">
        <v>32</v>
      </c>
      <c r="F44" s="8" t="s">
        <v>185</v>
      </c>
      <c r="G44" s="8" t="s">
        <v>20</v>
      </c>
    </row>
    <row r="45" customFormat="false" ht="15" hidden="false" customHeight="false" outlineLevel="0" collapsed="false">
      <c r="A45" s="6" t="s">
        <v>172</v>
      </c>
      <c r="B45" s="6" t="s">
        <v>186</v>
      </c>
      <c r="C45" s="6" t="s">
        <v>187</v>
      </c>
      <c r="D45" s="6" t="s">
        <v>188</v>
      </c>
      <c r="E45" s="6" t="s">
        <v>176</v>
      </c>
      <c r="F45" s="6" t="s">
        <v>189</v>
      </c>
      <c r="G45" s="6" t="s">
        <v>20</v>
      </c>
    </row>
    <row r="46" customFormat="false" ht="15" hidden="false" customHeight="false" outlineLevel="0" collapsed="false">
      <c r="A46" s="4" t="s">
        <v>190</v>
      </c>
      <c r="B46" s="5" t="s">
        <v>191</v>
      </c>
      <c r="C46" s="5" t="s">
        <v>192</v>
      </c>
      <c r="D46" s="5" t="s">
        <v>193</v>
      </c>
      <c r="E46" s="5" t="s">
        <v>194</v>
      </c>
      <c r="F46" s="5" t="s">
        <v>195</v>
      </c>
      <c r="G46" s="5" t="s">
        <v>20</v>
      </c>
    </row>
    <row r="47" customFormat="false" ht="23.85" hidden="false" customHeight="false" outlineLevel="0" collapsed="false">
      <c r="A47" s="6" t="s">
        <v>190</v>
      </c>
      <c r="B47" s="6" t="s">
        <v>196</v>
      </c>
      <c r="C47" s="6" t="s">
        <v>197</v>
      </c>
      <c r="D47" s="6" t="s">
        <v>198</v>
      </c>
      <c r="E47" s="6" t="s">
        <v>194</v>
      </c>
      <c r="F47" s="6" t="s">
        <v>199</v>
      </c>
      <c r="G47" s="6" t="s">
        <v>20</v>
      </c>
    </row>
    <row r="48" customFormat="false" ht="15" hidden="false" customHeight="false" outlineLevel="0" collapsed="false">
      <c r="A48" s="7" t="s">
        <v>190</v>
      </c>
      <c r="B48" s="7" t="s">
        <v>200</v>
      </c>
      <c r="C48" s="7" t="s">
        <v>201</v>
      </c>
      <c r="D48" s="7" t="s">
        <v>202</v>
      </c>
      <c r="E48" s="7" t="s">
        <v>194</v>
      </c>
      <c r="F48" s="7" t="s">
        <v>203</v>
      </c>
      <c r="G48" s="7" t="s">
        <v>20</v>
      </c>
    </row>
    <row r="49" customFormat="false" ht="15" hidden="false" customHeight="false" outlineLevel="0" collapsed="false">
      <c r="A49" s="4" t="s">
        <v>204</v>
      </c>
      <c r="B49" s="5" t="s">
        <v>205</v>
      </c>
      <c r="C49" s="5" t="s">
        <v>206</v>
      </c>
      <c r="D49" s="5" t="s">
        <v>207</v>
      </c>
      <c r="E49" s="5" t="s">
        <v>194</v>
      </c>
      <c r="F49" s="5" t="s">
        <v>208</v>
      </c>
      <c r="G49" s="5" t="s">
        <v>20</v>
      </c>
    </row>
    <row r="50" customFormat="false" ht="15" hidden="false" customHeight="false" outlineLevel="0" collapsed="false">
      <c r="A50" s="7" t="s">
        <v>204</v>
      </c>
      <c r="B50" s="7" t="s">
        <v>209</v>
      </c>
      <c r="C50" s="7" t="s">
        <v>210</v>
      </c>
      <c r="D50" s="7" t="s">
        <v>211</v>
      </c>
      <c r="E50" s="7" t="s">
        <v>194</v>
      </c>
      <c r="F50" s="7" t="s">
        <v>212</v>
      </c>
      <c r="G50" s="7" t="s">
        <v>20</v>
      </c>
    </row>
    <row r="51" customFormat="false" ht="15" hidden="false" customHeight="false" outlineLevel="0" collapsed="false">
      <c r="A51" s="6" t="s">
        <v>204</v>
      </c>
      <c r="B51" s="6" t="s">
        <v>213</v>
      </c>
      <c r="C51" s="6" t="s">
        <v>214</v>
      </c>
      <c r="D51" s="6" t="s">
        <v>215</v>
      </c>
      <c r="E51" s="6" t="s">
        <v>194</v>
      </c>
      <c r="F51" s="6" t="s">
        <v>216</v>
      </c>
      <c r="G51" s="6" t="s">
        <v>20</v>
      </c>
    </row>
    <row r="52" customFormat="false" ht="15" hidden="false" customHeight="false" outlineLevel="0" collapsed="false">
      <c r="A52" s="7" t="s">
        <v>204</v>
      </c>
      <c r="B52" s="7" t="s">
        <v>217</v>
      </c>
      <c r="C52" s="7" t="s">
        <v>218</v>
      </c>
      <c r="D52" s="7" t="s">
        <v>219</v>
      </c>
      <c r="E52" s="7" t="s">
        <v>194</v>
      </c>
      <c r="F52" s="7" t="s">
        <v>220</v>
      </c>
      <c r="G52" s="7" t="s">
        <v>20</v>
      </c>
    </row>
    <row r="53" customFormat="false" ht="15" hidden="false" customHeight="false" outlineLevel="0" collapsed="false">
      <c r="A53" s="6" t="s">
        <v>204</v>
      </c>
      <c r="B53" s="6" t="s">
        <v>221</v>
      </c>
      <c r="C53" s="6" t="s">
        <v>222</v>
      </c>
      <c r="D53" s="6" t="s">
        <v>223</v>
      </c>
      <c r="E53" s="6" t="s">
        <v>194</v>
      </c>
      <c r="F53" s="6" t="s">
        <v>224</v>
      </c>
      <c r="G53" s="6" t="s">
        <v>20</v>
      </c>
    </row>
    <row r="54" customFormat="false" ht="15" hidden="false" customHeight="false" outlineLevel="0" collapsed="false">
      <c r="A54" s="7" t="s">
        <v>204</v>
      </c>
      <c r="B54" s="7" t="s">
        <v>225</v>
      </c>
      <c r="C54" s="7" t="s">
        <v>226</v>
      </c>
      <c r="D54" s="7" t="s">
        <v>227</v>
      </c>
      <c r="E54" s="7" t="s">
        <v>194</v>
      </c>
      <c r="F54" s="7" t="s">
        <v>228</v>
      </c>
      <c r="G54" s="7" t="s">
        <v>20</v>
      </c>
    </row>
    <row r="55" customFormat="false" ht="15" hidden="false" customHeight="false" outlineLevel="0" collapsed="false">
      <c r="A55" s="6" t="s">
        <v>204</v>
      </c>
      <c r="B55" s="6" t="s">
        <v>229</v>
      </c>
      <c r="C55" s="6" t="s">
        <v>230</v>
      </c>
      <c r="D55" s="6" t="s">
        <v>231</v>
      </c>
      <c r="E55" s="6" t="s">
        <v>194</v>
      </c>
      <c r="F55" s="6" t="s">
        <v>232</v>
      </c>
      <c r="G55" s="6" t="s">
        <v>20</v>
      </c>
    </row>
    <row r="56" customFormat="false" ht="15" hidden="false" customHeight="false" outlineLevel="0" collapsed="false">
      <c r="A56" s="4" t="s">
        <v>233</v>
      </c>
      <c r="B56" s="5" t="s">
        <v>234</v>
      </c>
      <c r="C56" s="5" t="s">
        <v>235</v>
      </c>
      <c r="D56" s="5" t="s">
        <v>236</v>
      </c>
      <c r="E56" s="5" t="s">
        <v>237</v>
      </c>
      <c r="F56" s="5" t="s">
        <v>238</v>
      </c>
      <c r="G56" s="5" t="s">
        <v>20</v>
      </c>
    </row>
    <row r="57" customFormat="false" ht="15" hidden="false" customHeight="false" outlineLevel="0" collapsed="false">
      <c r="A57" s="6" t="s">
        <v>233</v>
      </c>
      <c r="B57" s="6" t="s">
        <v>239</v>
      </c>
      <c r="C57" s="6" t="s">
        <v>240</v>
      </c>
      <c r="D57" s="6" t="s">
        <v>241</v>
      </c>
      <c r="E57" s="6" t="s">
        <v>242</v>
      </c>
      <c r="F57" s="6" t="s">
        <v>243</v>
      </c>
      <c r="G57" s="6" t="s">
        <v>20</v>
      </c>
    </row>
    <row r="58" customFormat="false" ht="23.85" hidden="false" customHeight="false" outlineLevel="0" collapsed="false">
      <c r="A58" s="9" t="s">
        <v>244</v>
      </c>
      <c r="B58" s="8" t="s">
        <v>245</v>
      </c>
      <c r="C58" s="8" t="s">
        <v>246</v>
      </c>
      <c r="D58" s="8" t="s">
        <v>247</v>
      </c>
      <c r="E58" s="8" t="s">
        <v>12</v>
      </c>
      <c r="F58" s="8" t="s">
        <v>248</v>
      </c>
      <c r="G58" s="8" t="s">
        <v>244</v>
      </c>
    </row>
    <row r="59" customFormat="false" ht="15" hidden="false" customHeight="false" outlineLevel="0" collapsed="false">
      <c r="A59" s="8" t="s">
        <v>244</v>
      </c>
      <c r="B59" s="8" t="s">
        <v>249</v>
      </c>
      <c r="C59" s="8" t="s">
        <v>250</v>
      </c>
      <c r="D59" s="8" t="s">
        <v>251</v>
      </c>
      <c r="E59" s="8" t="s">
        <v>12</v>
      </c>
      <c r="F59" s="8" t="s">
        <v>252</v>
      </c>
      <c r="G59" s="8" t="s">
        <v>244</v>
      </c>
    </row>
    <row r="60" customFormat="false" ht="15" hidden="false" customHeight="false" outlineLevel="0" collapsed="false">
      <c r="A60" s="7" t="s">
        <v>244</v>
      </c>
      <c r="B60" s="7" t="s">
        <v>253</v>
      </c>
      <c r="C60" s="7" t="s">
        <v>254</v>
      </c>
      <c r="D60" s="7" t="s">
        <v>255</v>
      </c>
      <c r="E60" s="7" t="s">
        <v>12</v>
      </c>
      <c r="F60" s="7" t="s">
        <v>256</v>
      </c>
      <c r="G60" s="7" t="s">
        <v>244</v>
      </c>
    </row>
    <row r="61" customFormat="false" ht="35.05" hidden="false" customHeight="false" outlineLevel="0" collapsed="false">
      <c r="A61" s="6" t="s">
        <v>244</v>
      </c>
      <c r="B61" s="6" t="s">
        <v>257</v>
      </c>
      <c r="C61" s="6" t="s">
        <v>258</v>
      </c>
      <c r="D61" s="6" t="s">
        <v>259</v>
      </c>
      <c r="E61" s="6" t="s">
        <v>260</v>
      </c>
      <c r="F61" s="6" t="s">
        <v>261</v>
      </c>
      <c r="G61" s="6" t="s">
        <v>244</v>
      </c>
    </row>
    <row r="62" customFormat="false" ht="15" hidden="false" customHeight="false" outlineLevel="0" collapsed="false">
      <c r="A62" s="7" t="s">
        <v>244</v>
      </c>
      <c r="B62" s="7" t="s">
        <v>262</v>
      </c>
      <c r="C62" s="7" t="s">
        <v>263</v>
      </c>
      <c r="D62" s="7" t="s">
        <v>264</v>
      </c>
      <c r="E62" s="7" t="s">
        <v>32</v>
      </c>
      <c r="F62" s="7" t="s">
        <v>265</v>
      </c>
      <c r="G62" s="7" t="s">
        <v>244</v>
      </c>
    </row>
  </sheetData>
  <autoFilter ref="A4:G62"/>
  <mergeCells count="2">
    <mergeCell ref="A1:G1"/>
    <mergeCell ref="A2:G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22"/>
    <col collapsed="false" customWidth="true" hidden="false" outlineLevel="0" max="5" min="5" style="0" width="30"/>
  </cols>
  <sheetData>
    <row r="1" customFormat="false" ht="27.75" hidden="false" customHeight="true" outlineLevel="0" collapsed="false">
      <c r="A1" s="1" t="s">
        <v>266</v>
      </c>
      <c r="B1" s="1"/>
      <c r="C1" s="1"/>
      <c r="D1" s="1"/>
      <c r="E1" s="1"/>
    </row>
    <row r="2" customFormat="false" ht="15" hidden="false" customHeight="false" outlineLevel="0" collapsed="false">
      <c r="A2" s="2" t="s">
        <v>267</v>
      </c>
      <c r="B2" s="2"/>
      <c r="C2" s="2"/>
      <c r="D2" s="2"/>
      <c r="E2" s="2"/>
    </row>
    <row r="4" customFormat="false" ht="24" hidden="false" customHeight="true" outlineLevel="0" collapsed="false">
      <c r="A4" s="3" t="s">
        <v>6</v>
      </c>
      <c r="B4" s="3" t="s">
        <v>268</v>
      </c>
      <c r="C4" s="3" t="s">
        <v>269</v>
      </c>
      <c r="D4" s="3" t="s">
        <v>270</v>
      </c>
      <c r="E4" s="3" t="s">
        <v>271</v>
      </c>
    </row>
    <row r="5" customFormat="false" ht="23.85" hidden="false" customHeight="false" outlineLevel="0" collapsed="false">
      <c r="A5" s="10" t="s">
        <v>272</v>
      </c>
      <c r="B5" s="10" t="s">
        <v>273</v>
      </c>
      <c r="C5" s="10" t="s">
        <v>274</v>
      </c>
      <c r="D5" s="10" t="s">
        <v>275</v>
      </c>
      <c r="E5" s="10" t="s">
        <v>276</v>
      </c>
    </row>
    <row r="6" customFormat="false" ht="15" hidden="false" customHeight="false" outlineLevel="0" collapsed="false">
      <c r="A6" s="11" t="s">
        <v>277</v>
      </c>
      <c r="B6" s="11" t="s">
        <v>278</v>
      </c>
      <c r="C6" s="11" t="s">
        <v>279</v>
      </c>
      <c r="D6" s="11" t="s">
        <v>275</v>
      </c>
      <c r="E6" s="11" t="s">
        <v>280</v>
      </c>
    </row>
    <row r="7" customFormat="false" ht="15" hidden="false" customHeight="false" outlineLevel="0" collapsed="false">
      <c r="A7" s="10" t="s">
        <v>73</v>
      </c>
      <c r="B7" s="10" t="s">
        <v>281</v>
      </c>
      <c r="C7" s="10" t="s">
        <v>282</v>
      </c>
      <c r="D7" s="10" t="s">
        <v>283</v>
      </c>
      <c r="E7" s="10" t="s">
        <v>284</v>
      </c>
    </row>
    <row r="8" customFormat="false" ht="15" hidden="false" customHeight="false" outlineLevel="0" collapsed="false">
      <c r="A8" s="11" t="s">
        <v>285</v>
      </c>
      <c r="B8" s="11" t="s">
        <v>176</v>
      </c>
      <c r="C8" s="11" t="s">
        <v>286</v>
      </c>
      <c r="D8" s="11" t="s">
        <v>287</v>
      </c>
      <c r="E8" s="11" t="s">
        <v>288</v>
      </c>
    </row>
    <row r="9" customFormat="false" ht="15" hidden="false" customHeight="false" outlineLevel="0" collapsed="false">
      <c r="A9" s="10" t="s">
        <v>289</v>
      </c>
      <c r="B9" s="10" t="s">
        <v>176</v>
      </c>
      <c r="C9" s="10" t="s">
        <v>290</v>
      </c>
      <c r="D9" s="10" t="s">
        <v>287</v>
      </c>
      <c r="E9" s="10" t="s">
        <v>291</v>
      </c>
    </row>
    <row r="10" customFormat="false" ht="15" hidden="false" customHeight="false" outlineLevel="0" collapsed="false">
      <c r="A10" s="11" t="s">
        <v>292</v>
      </c>
      <c r="B10" s="11" t="s">
        <v>176</v>
      </c>
      <c r="C10" s="11" t="s">
        <v>293</v>
      </c>
      <c r="D10" s="11" t="s">
        <v>294</v>
      </c>
      <c r="E10" s="11" t="s">
        <v>295</v>
      </c>
    </row>
    <row r="11" customFormat="false" ht="15" hidden="false" customHeight="false" outlineLevel="0" collapsed="false">
      <c r="A11" s="10" t="s">
        <v>117</v>
      </c>
      <c r="B11" s="10" t="s">
        <v>296</v>
      </c>
      <c r="C11" s="10" t="s">
        <v>297</v>
      </c>
      <c r="D11" s="10" t="s">
        <v>287</v>
      </c>
      <c r="E11" s="10" t="s">
        <v>298</v>
      </c>
    </row>
    <row r="12" customFormat="false" ht="15" hidden="false" customHeight="false" outlineLevel="0" collapsed="false">
      <c r="A12" s="11" t="s">
        <v>194</v>
      </c>
      <c r="B12" s="11" t="s">
        <v>299</v>
      </c>
      <c r="C12" s="11" t="s">
        <v>300</v>
      </c>
      <c r="D12" s="11" t="s">
        <v>301</v>
      </c>
      <c r="E12" s="11" t="s">
        <v>288</v>
      </c>
    </row>
    <row r="13" customFormat="false" ht="15" hidden="false" customHeight="false" outlineLevel="0" collapsed="false">
      <c r="A13" s="10" t="s">
        <v>302</v>
      </c>
      <c r="B13" s="10" t="s">
        <v>303</v>
      </c>
      <c r="C13" s="10" t="s">
        <v>304</v>
      </c>
      <c r="D13" s="10" t="s">
        <v>275</v>
      </c>
      <c r="E13" s="10" t="s">
        <v>305</v>
      </c>
    </row>
    <row r="14" customFormat="false" ht="15" hidden="false" customHeight="false" outlineLevel="0" collapsed="false">
      <c r="A14" s="11" t="s">
        <v>306</v>
      </c>
      <c r="B14" s="11" t="s">
        <v>307</v>
      </c>
      <c r="C14" s="11" t="s">
        <v>308</v>
      </c>
      <c r="D14" s="11" t="s">
        <v>309</v>
      </c>
      <c r="E14" s="11" t="s">
        <v>310</v>
      </c>
    </row>
    <row r="15" customFormat="false" ht="23.85" hidden="false" customHeight="false" outlineLevel="0" collapsed="false">
      <c r="A15" s="12" t="s">
        <v>311</v>
      </c>
      <c r="B15" s="12" t="s">
        <v>312</v>
      </c>
      <c r="C15" s="12" t="s">
        <v>313</v>
      </c>
      <c r="D15" s="12" t="s">
        <v>309</v>
      </c>
      <c r="E15" s="12" t="s">
        <v>314</v>
      </c>
    </row>
    <row r="16" customFormat="false" ht="23.85" hidden="false" customHeight="false" outlineLevel="0" collapsed="false">
      <c r="A16" s="12" t="s">
        <v>315</v>
      </c>
      <c r="B16" s="12" t="s">
        <v>316</v>
      </c>
      <c r="C16" s="12" t="s">
        <v>317</v>
      </c>
      <c r="D16" s="12" t="s">
        <v>309</v>
      </c>
      <c r="E16" s="12" t="s">
        <v>314</v>
      </c>
    </row>
    <row r="17" customFormat="false" ht="15" hidden="false" customHeight="false" outlineLevel="0" collapsed="false">
      <c r="A17" s="10" t="s">
        <v>318</v>
      </c>
      <c r="B17" s="10" t="s">
        <v>319</v>
      </c>
      <c r="C17" s="10" t="s">
        <v>320</v>
      </c>
      <c r="D17" s="10" t="s">
        <v>321</v>
      </c>
      <c r="E17" s="10" t="s">
        <v>322</v>
      </c>
    </row>
  </sheetData>
  <mergeCells count="2">
    <mergeCell ref="A1:E1"/>
    <mergeCell ref="A2:E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26"/>
    <col collapsed="false" customWidth="true" hidden="false" outlineLevel="0" max="3" min="3" style="0" width="14"/>
    <col collapsed="false" customWidth="true" hidden="false" outlineLevel="0" max="4" min="4" style="0" width="60"/>
  </cols>
  <sheetData>
    <row r="1" customFormat="false" ht="27.75" hidden="false" customHeight="true" outlineLevel="0" collapsed="false">
      <c r="A1" s="1" t="s">
        <v>323</v>
      </c>
      <c r="B1" s="1"/>
      <c r="C1" s="1"/>
      <c r="D1" s="1"/>
    </row>
    <row r="2" customFormat="false" ht="15" hidden="false" customHeight="false" outlineLevel="0" collapsed="false">
      <c r="A2" s="2" t="s">
        <v>324</v>
      </c>
      <c r="B2" s="2"/>
      <c r="C2" s="2"/>
      <c r="D2" s="2"/>
    </row>
    <row r="4" customFormat="false" ht="24" hidden="false" customHeight="true" outlineLevel="0" collapsed="false">
      <c r="A4" s="3" t="s">
        <v>325</v>
      </c>
      <c r="B4" s="3" t="s">
        <v>326</v>
      </c>
      <c r="C4" s="3" t="s">
        <v>327</v>
      </c>
      <c r="D4" s="3" t="s">
        <v>328</v>
      </c>
    </row>
    <row r="5" customFormat="false" ht="15" hidden="false" customHeight="false" outlineLevel="0" collapsed="false">
      <c r="A5" s="13" t="n">
        <v>1</v>
      </c>
      <c r="B5" s="14" t="s">
        <v>246</v>
      </c>
      <c r="C5" s="15" t="n">
        <v>0.54</v>
      </c>
      <c r="D5" s="14" t="s">
        <v>329</v>
      </c>
    </row>
    <row r="6" customFormat="false" ht="15" hidden="false" customHeight="false" outlineLevel="0" collapsed="false">
      <c r="A6" s="13" t="n">
        <v>2</v>
      </c>
      <c r="B6" s="14" t="s">
        <v>44</v>
      </c>
      <c r="C6" s="15" t="n">
        <v>0.235</v>
      </c>
      <c r="D6" s="14" t="s">
        <v>330</v>
      </c>
    </row>
    <row r="7" customFormat="false" ht="15" hidden="false" customHeight="false" outlineLevel="0" collapsed="false">
      <c r="A7" s="13" t="n">
        <v>3</v>
      </c>
      <c r="B7" s="14" t="s">
        <v>35</v>
      </c>
      <c r="C7" s="15" t="n">
        <v>0.22</v>
      </c>
      <c r="D7" s="14" t="s">
        <v>331</v>
      </c>
    </row>
    <row r="8" customFormat="false" ht="15" hidden="false" customHeight="false" outlineLevel="0" collapsed="false">
      <c r="A8" s="13" t="n">
        <v>4</v>
      </c>
      <c r="B8" s="14" t="s">
        <v>30</v>
      </c>
      <c r="C8" s="15" t="n">
        <v>0.213</v>
      </c>
      <c r="D8" s="14" t="s">
        <v>332</v>
      </c>
    </row>
    <row r="9" customFormat="false" ht="15" hidden="false" customHeight="false" outlineLevel="0" collapsed="false">
      <c r="A9" s="13" t="n">
        <v>5</v>
      </c>
      <c r="B9" s="14" t="s">
        <v>250</v>
      </c>
      <c r="C9" s="15" t="n">
        <v>0.17</v>
      </c>
      <c r="D9" s="14" t="s">
        <v>333</v>
      </c>
    </row>
    <row r="10" customFormat="false" ht="15" hidden="false" customHeight="false" outlineLevel="0" collapsed="false">
      <c r="A10" s="16" t="n">
        <v>6</v>
      </c>
      <c r="B10" s="17" t="s">
        <v>17</v>
      </c>
      <c r="C10" s="18" t="n">
        <v>0.124</v>
      </c>
      <c r="D10" s="17" t="s">
        <v>334</v>
      </c>
    </row>
    <row r="11" customFormat="false" ht="15" hidden="false" customHeight="false" outlineLevel="0" collapsed="false">
      <c r="A11" s="19" t="n">
        <v>7</v>
      </c>
      <c r="B11" s="20" t="s">
        <v>127</v>
      </c>
      <c r="C11" s="21" t="n">
        <v>0.08</v>
      </c>
      <c r="D11" s="20" t="s">
        <v>335</v>
      </c>
    </row>
    <row r="12" customFormat="false" ht="15" hidden="false" customHeight="false" outlineLevel="0" collapsed="false">
      <c r="A12" s="16" t="n">
        <v>8</v>
      </c>
      <c r="B12" s="17" t="s">
        <v>174</v>
      </c>
      <c r="C12" s="18" t="n">
        <v>0.073</v>
      </c>
      <c r="D12" s="17" t="s">
        <v>336</v>
      </c>
    </row>
    <row r="13" customFormat="false" ht="15" hidden="false" customHeight="false" outlineLevel="0" collapsed="false">
      <c r="A13" s="19" t="n">
        <v>9</v>
      </c>
      <c r="B13" s="20" t="s">
        <v>124</v>
      </c>
      <c r="C13" s="21" t="n">
        <v>0.061</v>
      </c>
      <c r="D13" s="20" t="s">
        <v>337</v>
      </c>
    </row>
    <row r="14" customFormat="false" ht="15" hidden="false" customHeight="false" outlineLevel="0" collapsed="false">
      <c r="A14" s="16" t="n">
        <v>10</v>
      </c>
      <c r="B14" s="17" t="s">
        <v>183</v>
      </c>
      <c r="C14" s="18" t="n">
        <v>0.059</v>
      </c>
      <c r="D14" s="17" t="s">
        <v>338</v>
      </c>
    </row>
    <row r="16" customFormat="false" ht="15" hidden="false" customHeight="false" outlineLevel="0" collapsed="false">
      <c r="B16" s="22" t="s">
        <v>339</v>
      </c>
      <c r="C16" s="23" t="n">
        <f aca="false">SUM(C5:C9)</f>
        <v>1.378</v>
      </c>
    </row>
    <row r="17" customFormat="false" ht="15" hidden="false" customHeight="false" outlineLevel="0" collapsed="false">
      <c r="B17" s="22" t="s">
        <v>340</v>
      </c>
      <c r="C17" s="23" t="n">
        <f aca="false">SUM(C5:C14)</f>
        <v>1.775</v>
      </c>
    </row>
    <row r="18" customFormat="false" ht="15" hidden="false" customHeight="false" outlineLevel="0" collapsed="false">
      <c r="B18" s="22" t="s">
        <v>341</v>
      </c>
      <c r="C18" s="24" t="n">
        <f aca="false">C16/C17</f>
        <v>0.776338028169014</v>
      </c>
    </row>
  </sheetData>
  <mergeCells count="2">
    <mergeCell ref="A1:D1"/>
    <mergeCell ref="A2:D2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2026-04-28T17:34:06Z</dcterms:created>
  <dc:creator>openpyxl</dc:creator>
  <dc:description/>
  <dc:language>en-US</dc:language>
  <cp:lastModifiedBy/>
  <dcterms:modified xsi:type="dcterms:W3CDTF">2026-04-28T17:34:06Z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